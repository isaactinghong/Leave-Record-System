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aac\source\repos\Leave-Record-System\"/>
    </mc:Choice>
  </mc:AlternateContent>
  <xr:revisionPtr revIDLastSave="0" documentId="13_ncr:1_{1F50FBB2-9400-404C-94B1-1E6E2E3534D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 John Smith " sheetId="86" r:id="rId1"/>
    <sheet name="John Smith (to be)" sheetId="5" r:id="rId2"/>
    <sheet name="Employee Record Generator" sheetId="6" r:id="rId3"/>
    <sheet name="Leave Records" sheetId="1" r:id="rId4"/>
    <sheet name="Employee Profiles" sheetId="2" r:id="rId5"/>
    <sheet name="Leave Entitlement Policy" sheetId="3" r:id="rId6"/>
    <sheet name="Meta Data" sheetId="4" r:id="rId7"/>
  </sheets>
  <definedNames>
    <definedName name="EmployeeID">'Employee Record Generator'!$B$1</definedName>
    <definedName name="EmployeeName">'Employee Record Generator'!$B$2</definedName>
    <definedName name="LeavesToApply">'Employee Record Generator'!$B$4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5" l="1"/>
  <c r="U3" i="5"/>
  <c r="U4" i="5"/>
  <c r="U5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T18" i="5"/>
  <c r="T19" i="5"/>
  <c r="T20" i="5"/>
  <c r="T17" i="5"/>
  <c r="T6" i="5"/>
  <c r="T7" i="5"/>
  <c r="T8" i="5"/>
  <c r="T5" i="5"/>
  <c r="S17" i="5"/>
  <c r="S18" i="5"/>
  <c r="S19" i="5"/>
  <c r="S20" i="5"/>
  <c r="S21" i="5"/>
  <c r="S22" i="5"/>
  <c r="S23" i="5"/>
  <c r="S6" i="5"/>
  <c r="S7" i="5"/>
  <c r="S8" i="5"/>
  <c r="S9" i="5"/>
  <c r="S10" i="5"/>
  <c r="S11" i="5"/>
  <c r="S12" i="5"/>
  <c r="S13" i="5"/>
  <c r="S14" i="5"/>
  <c r="S15" i="5"/>
  <c r="S16" i="5"/>
  <c r="S5" i="5"/>
  <c r="S3" i="5"/>
  <c r="S4" i="5"/>
  <c r="S2" i="5"/>
</calcChain>
</file>

<file path=xl/sharedStrings.xml><?xml version="1.0" encoding="utf-8"?>
<sst xmlns="http://schemas.openxmlformats.org/spreadsheetml/2006/main" count="173" uniqueCount="59">
  <si>
    <t>Employee ID</t>
  </si>
  <si>
    <t>Leave Type</t>
  </si>
  <si>
    <t>Initial Carry-Over Leaves</t>
  </si>
  <si>
    <t>Employee Name</t>
  </si>
  <si>
    <t>Employment Start Date</t>
  </si>
  <si>
    <t>Years Worked</t>
  </si>
  <si>
    <t>Leave Start Date</t>
  </si>
  <si>
    <t>Excel Create Date</t>
  </si>
  <si>
    <t xml:space="preserve"> John Smith </t>
  </si>
  <si>
    <t xml:space="preserve"> 2018-04-02 </t>
  </si>
  <si>
    <t xml:space="preserve"> AL </t>
  </si>
  <si>
    <t xml:space="preserve"> 2018-06-26 </t>
  </si>
  <si>
    <t xml:space="preserve"> CL </t>
  </si>
  <si>
    <t xml:space="preserve"> 2018-11-19 </t>
  </si>
  <si>
    <t xml:space="preserve"> 2019-03-25 </t>
  </si>
  <si>
    <t xml:space="preserve"> 2019-08-26 </t>
  </si>
  <si>
    <t xml:space="preserve"> 2019-12-23 </t>
  </si>
  <si>
    <t xml:space="preserve"> 2020-01-02 </t>
  </si>
  <si>
    <t xml:space="preserve"> 2020-04-13 </t>
  </si>
  <si>
    <t xml:space="preserve"> 2020-10-26 </t>
  </si>
  <si>
    <t xml:space="preserve"> 2021-02-15 </t>
  </si>
  <si>
    <t xml:space="preserve"> 2021-05-17 </t>
  </si>
  <si>
    <t xml:space="preserve"> 2021-09-20 </t>
  </si>
  <si>
    <t xml:space="preserve"> 2022-02-07 </t>
  </si>
  <si>
    <t xml:space="preserve"> 2022-06-21 </t>
  </si>
  <si>
    <t xml:space="preserve"> 2022-11-14 </t>
  </si>
  <si>
    <t xml:space="preserve"> 2023-01-23 </t>
  </si>
  <si>
    <t xml:space="preserve"> 2023-04-03 </t>
  </si>
  <si>
    <t>John Smith</t>
  </si>
  <si>
    <t>Carry-Over from Last Year</t>
  </si>
  <si>
    <t>Leaves Taken in Carry-Over Period</t>
  </si>
  <si>
    <t>Entitled Leaves</t>
  </si>
  <si>
    <t>ALPeriod Start Date</t>
  </si>
  <si>
    <t>ALPeriod End Date</t>
  </si>
  <si>
    <t>Prorata Leaves Taken</t>
  </si>
  <si>
    <t>Prorata Leaves Remaining</t>
  </si>
  <si>
    <t>Leaves to Apply</t>
  </si>
  <si>
    <t xml:space="preserve">Employee Name: </t>
  </si>
  <si>
    <t xml:space="preserve">Employee ID: </t>
  </si>
  <si>
    <t>Key</t>
  </si>
  <si>
    <t>Value</t>
  </si>
  <si>
    <t>Years Worked Before Excel Creation</t>
  </si>
  <si>
    <t xml:space="preserve">Employment Start Date: </t>
  </si>
  <si>
    <t xml:space="preserve">Years Worked Before Excel Creation: </t>
  </si>
  <si>
    <t>Carry-over Months</t>
  </si>
  <si>
    <t>Leave Entitlement Policy</t>
  </si>
  <si>
    <t xml:space="preserve">Initial Carry-Over Leaves: </t>
  </si>
  <si>
    <t>Leaves To Apply</t>
  </si>
  <si>
    <t>Prorata</t>
  </si>
  <si>
    <t>Carryover</t>
  </si>
  <si>
    <t>Carryover
Or Prorata</t>
  </si>
  <si>
    <t>NO QUOTA</t>
  </si>
  <si>
    <t>ALPeriod#</t>
  </si>
  <si>
    <t>Leave Date</t>
  </si>
  <si>
    <t xml:space="preserve">Leaves Available </t>
  </si>
  <si>
    <t>Months From Today</t>
  </si>
  <si>
    <t>Today (Report Date)</t>
  </si>
  <si>
    <t>#</t>
  </si>
  <si>
    <t>Leave taken this ALPeriod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</si>
</sst>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7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180975</xdr:rowOff>
        </xdr:from>
        <xdr:to>
          <xdr:col>6</xdr:col>
          <xdr:colOff>381000</xdr:colOff>
          <xdr:row>3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Employee Leaves Record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2DA7-F4F0-4DA0-8F42-74897F93078D}">
  <sheetPr codeName="Sheet86"/>
  <dimension ref="A1:B5"/>
  <sheetViews>
    <sheetView workbookViewId="0">
      <selection activeCell="E23" sqref="E23"/>
    </sheetView>
  </sheetViews>
  <sheetFormatPr defaultRowHeight="15" x14ac:dyDescent="0.25"/>
  <cols>
    <col min="1" max="1" width="35.7109375" customWidth="1"/>
    <col min="2" max="2" width="11.7109375" customWidth="1"/>
  </cols>
  <sheetData>
    <row r="1" spans="1:2" x14ac:dyDescent="0.25">
      <c r="A1" t="s">
        <v>37</v>
      </c>
      <c r="B1" t="s">
        <v>8</v>
      </c>
    </row>
    <row r="2" spans="1:2" x14ac:dyDescent="0.25">
      <c r="A2" t="s">
        <v>38</v>
      </c>
      <c r="B2">
        <v>10001</v>
      </c>
    </row>
    <row r="3" spans="1:2" x14ac:dyDescent="0.25">
      <c r="A3" t="s">
        <v>42</v>
      </c>
      <c r="B3" s="1">
        <v>43252</v>
      </c>
    </row>
    <row r="4" spans="1:2" x14ac:dyDescent="0.25">
      <c r="A4" t="s">
        <v>46</v>
      </c>
      <c r="B4">
        <v>6</v>
      </c>
    </row>
    <row r="5" spans="1:2" x14ac:dyDescent="0.25">
      <c r="A5" t="s">
        <v>43</v>
      </c>
      <c r="B5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4B14B-0817-4DBA-AA4F-1D403374D31C}">
  <sheetPr codeName="Sheet6"/>
  <dimension ref="A1:U26"/>
  <sheetViews>
    <sheetView tabSelected="1" workbookViewId="0">
      <selection activeCell="H15" sqref="H15"/>
    </sheetView>
  </sheetViews>
  <sheetFormatPr defaultRowHeight="15" x14ac:dyDescent="0.25"/>
  <cols>
    <col min="1" max="1" width="23.42578125" customWidth="1"/>
    <col min="2" max="2" width="12.5703125" customWidth="1"/>
    <col min="3" max="3" width="16" customWidth="1"/>
    <col min="4" max="4" width="10" bestFit="1" customWidth="1"/>
    <col min="5" max="5" width="18.140625" customWidth="1"/>
    <col min="6" max="6" width="17.7109375" customWidth="1"/>
    <col min="7" max="7" width="13.5703125" bestFit="1" customWidth="1"/>
    <col min="8" max="8" width="15" bestFit="1" customWidth="1"/>
    <col min="9" max="9" width="13.5703125" customWidth="1"/>
    <col min="10" max="10" width="14" customWidth="1"/>
    <col min="11" max="11" width="14.140625" customWidth="1"/>
    <col min="13" max="13" width="15.42578125" bestFit="1" customWidth="1"/>
    <col min="14" max="14" width="10.85546875" bestFit="1" customWidth="1"/>
    <col min="15" max="15" width="15.140625" customWidth="1"/>
    <col min="16" max="16" width="1.5703125" customWidth="1"/>
    <col min="17" max="17" width="16.5703125" customWidth="1"/>
    <col min="18" max="18" width="3.85546875" customWidth="1"/>
    <col min="19" max="19" width="8.85546875" style="5" customWidth="1"/>
    <col min="20" max="20" width="6" customWidth="1"/>
    <col min="21" max="21" width="9.28515625" customWidth="1"/>
  </cols>
  <sheetData>
    <row r="1" spans="1:21" s="2" customFormat="1" ht="45" x14ac:dyDescent="0.25">
      <c r="A1" s="2" t="s">
        <v>56</v>
      </c>
      <c r="B1" s="3">
        <v>45003</v>
      </c>
      <c r="D1" s="2" t="s">
        <v>52</v>
      </c>
      <c r="E1" s="2" t="s">
        <v>32</v>
      </c>
      <c r="F1" s="2" t="s">
        <v>33</v>
      </c>
      <c r="G1" s="2" t="s">
        <v>29</v>
      </c>
      <c r="H1" s="2" t="s">
        <v>30</v>
      </c>
      <c r="I1" s="2" t="s">
        <v>31</v>
      </c>
      <c r="J1" s="2" t="s">
        <v>34</v>
      </c>
      <c r="K1" s="2" t="s">
        <v>35</v>
      </c>
      <c r="M1" t="s">
        <v>6</v>
      </c>
      <c r="N1" t="s">
        <v>1</v>
      </c>
      <c r="O1" s="2" t="s">
        <v>50</v>
      </c>
      <c r="Q1" s="2" t="s">
        <v>55</v>
      </c>
      <c r="R1" s="2" t="s">
        <v>57</v>
      </c>
      <c r="S1" s="6" t="s">
        <v>48</v>
      </c>
      <c r="T1" s="2" t="s">
        <v>49</v>
      </c>
      <c r="U1" s="2" t="s">
        <v>54</v>
      </c>
    </row>
    <row r="2" spans="1:21" x14ac:dyDescent="0.25">
      <c r="A2" s="2" t="s">
        <v>0</v>
      </c>
      <c r="B2">
        <v>10001</v>
      </c>
      <c r="C2" s="2"/>
      <c r="D2">
        <v>6</v>
      </c>
      <c r="E2" s="1">
        <v>43252</v>
      </c>
      <c r="F2" s="1">
        <v>43616</v>
      </c>
      <c r="G2">
        <v>6</v>
      </c>
      <c r="H2">
        <v>4</v>
      </c>
      <c r="I2">
        <v>14</v>
      </c>
      <c r="J2">
        <v>9</v>
      </c>
      <c r="K2">
        <v>5</v>
      </c>
      <c r="M2" t="s">
        <v>9</v>
      </c>
      <c r="N2" t="s">
        <v>10</v>
      </c>
      <c r="O2" t="s">
        <v>49</v>
      </c>
      <c r="Q2" s="4">
        <v>44986</v>
      </c>
      <c r="R2" s="5">
        <v>10</v>
      </c>
      <c r="S2" s="5">
        <f>$I$6/12*R2</f>
        <v>15</v>
      </c>
      <c r="U2">
        <f t="shared" ref="U2:U22" si="0">T2+S2</f>
        <v>15</v>
      </c>
    </row>
    <row r="3" spans="1:21" x14ac:dyDescent="0.25">
      <c r="A3" s="2" t="s">
        <v>3</v>
      </c>
      <c r="B3" t="s">
        <v>28</v>
      </c>
      <c r="D3">
        <v>7</v>
      </c>
      <c r="E3" s="1">
        <v>43617</v>
      </c>
      <c r="F3" s="1">
        <v>43982</v>
      </c>
      <c r="G3">
        <v>5</v>
      </c>
      <c r="H3">
        <v>8</v>
      </c>
      <c r="I3">
        <v>15</v>
      </c>
      <c r="J3">
        <v>8</v>
      </c>
      <c r="K3">
        <v>4</v>
      </c>
      <c r="M3" t="s">
        <v>11</v>
      </c>
      <c r="N3" t="s">
        <v>10</v>
      </c>
      <c r="O3" t="s">
        <v>49</v>
      </c>
      <c r="Q3" s="4">
        <v>45017</v>
      </c>
      <c r="R3" s="5">
        <v>11</v>
      </c>
      <c r="S3" s="5">
        <f t="shared" ref="S3:S4" si="1">$I$6/12*R3</f>
        <v>16.5</v>
      </c>
      <c r="U3">
        <f t="shared" si="0"/>
        <v>16.5</v>
      </c>
    </row>
    <row r="4" spans="1:21" s="2" customFormat="1" x14ac:dyDescent="0.25">
      <c r="A4" s="2" t="s">
        <v>4</v>
      </c>
      <c r="B4" s="1">
        <v>43252</v>
      </c>
      <c r="C4"/>
      <c r="D4" s="2">
        <v>8</v>
      </c>
      <c r="E4" s="1">
        <v>43983</v>
      </c>
      <c r="F4" s="1">
        <v>44347</v>
      </c>
      <c r="G4">
        <v>4</v>
      </c>
      <c r="H4">
        <v>6</v>
      </c>
      <c r="I4">
        <v>16</v>
      </c>
      <c r="J4">
        <v>14</v>
      </c>
      <c r="K4">
        <v>0</v>
      </c>
      <c r="L4"/>
      <c r="M4" t="s">
        <v>13</v>
      </c>
      <c r="N4" t="s">
        <v>10</v>
      </c>
      <c r="O4" t="s">
        <v>48</v>
      </c>
      <c r="Q4" s="4">
        <v>45047</v>
      </c>
      <c r="R4" s="5">
        <v>12</v>
      </c>
      <c r="S4" s="5">
        <f t="shared" si="1"/>
        <v>18</v>
      </c>
      <c r="U4">
        <f t="shared" si="0"/>
        <v>18</v>
      </c>
    </row>
    <row r="5" spans="1:21" x14ac:dyDescent="0.25">
      <c r="A5" s="2" t="s">
        <v>2</v>
      </c>
      <c r="B5">
        <v>6</v>
      </c>
      <c r="C5" s="2"/>
      <c r="D5">
        <v>9</v>
      </c>
      <c r="E5" s="1">
        <v>44348</v>
      </c>
      <c r="F5" s="1">
        <v>44712</v>
      </c>
      <c r="G5">
        <v>0</v>
      </c>
      <c r="H5">
        <v>5</v>
      </c>
      <c r="I5">
        <v>17</v>
      </c>
      <c r="J5">
        <v>10</v>
      </c>
      <c r="K5">
        <v>2</v>
      </c>
      <c r="M5" t="s">
        <v>14</v>
      </c>
      <c r="N5" t="s">
        <v>10</v>
      </c>
      <c r="O5" t="s">
        <v>48</v>
      </c>
      <c r="Q5" s="4">
        <v>45078</v>
      </c>
      <c r="R5" s="5">
        <v>1</v>
      </c>
      <c r="S5" s="5">
        <f>$I$7*R5/12</f>
        <v>1.5</v>
      </c>
      <c r="T5">
        <f>G7-H7</f>
        <v>0</v>
      </c>
      <c r="U5">
        <f t="shared" si="0"/>
        <v>1.5</v>
      </c>
    </row>
    <row r="6" spans="1:21" x14ac:dyDescent="0.25">
      <c r="A6" s="2" t="s">
        <v>5</v>
      </c>
      <c r="B6">
        <v>5</v>
      </c>
      <c r="D6">
        <v>10</v>
      </c>
      <c r="E6" s="1">
        <v>44713</v>
      </c>
      <c r="F6" s="1">
        <v>45077</v>
      </c>
      <c r="G6">
        <v>2</v>
      </c>
      <c r="H6">
        <v>1</v>
      </c>
      <c r="I6">
        <v>18</v>
      </c>
      <c r="J6">
        <v>11</v>
      </c>
      <c r="K6">
        <v>7</v>
      </c>
      <c r="M6" t="s">
        <v>15</v>
      </c>
      <c r="N6" t="s">
        <v>10</v>
      </c>
      <c r="O6" t="s">
        <v>49</v>
      </c>
      <c r="Q6" s="4">
        <v>45108</v>
      </c>
      <c r="R6" s="5">
        <v>2</v>
      </c>
      <c r="S6" s="5">
        <f t="shared" ref="S6:S23" si="2">$I$7*R6/12</f>
        <v>3</v>
      </c>
      <c r="T6">
        <f t="shared" ref="T6:T8" si="3">G8-H8</f>
        <v>0</v>
      </c>
    </row>
    <row r="7" spans="1:21" x14ac:dyDescent="0.25">
      <c r="D7">
        <v>11</v>
      </c>
      <c r="E7" s="1">
        <v>45078</v>
      </c>
      <c r="F7" s="1">
        <v>45443</v>
      </c>
      <c r="G7">
        <v>7</v>
      </c>
      <c r="H7">
        <v>7</v>
      </c>
      <c r="I7">
        <v>18</v>
      </c>
      <c r="J7">
        <v>3</v>
      </c>
      <c r="K7">
        <v>15</v>
      </c>
      <c r="M7" t="s">
        <v>16</v>
      </c>
      <c r="N7" t="s">
        <v>10</v>
      </c>
      <c r="O7" t="s">
        <v>49</v>
      </c>
      <c r="Q7" s="4">
        <v>45139</v>
      </c>
      <c r="R7" s="5">
        <v>3</v>
      </c>
      <c r="S7" s="5">
        <f t="shared" si="2"/>
        <v>4.5</v>
      </c>
      <c r="T7">
        <f t="shared" si="3"/>
        <v>0</v>
      </c>
      <c r="U7">
        <f t="shared" si="0"/>
        <v>4.5</v>
      </c>
    </row>
    <row r="8" spans="1:21" ht="30" x14ac:dyDescent="0.25">
      <c r="A8" s="2" t="s">
        <v>58</v>
      </c>
      <c r="B8" s="1">
        <v>45100</v>
      </c>
      <c r="C8" t="s">
        <v>49</v>
      </c>
      <c r="M8" t="s">
        <v>17</v>
      </c>
      <c r="N8" t="s">
        <v>10</v>
      </c>
      <c r="O8" t="s">
        <v>48</v>
      </c>
      <c r="Q8" s="4">
        <v>45170</v>
      </c>
      <c r="R8" s="5">
        <v>4</v>
      </c>
      <c r="S8" s="5">
        <f t="shared" si="2"/>
        <v>6</v>
      </c>
      <c r="T8">
        <f t="shared" si="3"/>
        <v>0</v>
      </c>
      <c r="U8">
        <f t="shared" si="0"/>
        <v>6</v>
      </c>
    </row>
    <row r="9" spans="1:21" x14ac:dyDescent="0.25">
      <c r="B9" s="1">
        <v>45101</v>
      </c>
      <c r="C9" t="s">
        <v>49</v>
      </c>
      <c r="M9" t="s">
        <v>18</v>
      </c>
      <c r="N9" t="s">
        <v>10</v>
      </c>
      <c r="O9" t="s">
        <v>48</v>
      </c>
      <c r="Q9" s="4">
        <v>45200</v>
      </c>
      <c r="R9" s="5">
        <v>5</v>
      </c>
      <c r="S9" s="5">
        <f t="shared" si="2"/>
        <v>7.5</v>
      </c>
      <c r="U9">
        <f t="shared" si="0"/>
        <v>7.5</v>
      </c>
    </row>
    <row r="10" spans="1:21" x14ac:dyDescent="0.25">
      <c r="B10" s="1">
        <v>45102</v>
      </c>
      <c r="C10" t="s">
        <v>49</v>
      </c>
      <c r="M10" t="s">
        <v>19</v>
      </c>
      <c r="N10" t="s">
        <v>10</v>
      </c>
      <c r="O10" t="s">
        <v>49</v>
      </c>
      <c r="Q10" s="4">
        <v>45231</v>
      </c>
      <c r="R10" s="5">
        <v>6</v>
      </c>
      <c r="S10" s="5">
        <f t="shared" si="2"/>
        <v>9</v>
      </c>
      <c r="U10">
        <f t="shared" si="0"/>
        <v>9</v>
      </c>
    </row>
    <row r="11" spans="1:21" x14ac:dyDescent="0.25">
      <c r="B11" s="1">
        <v>45103</v>
      </c>
      <c r="C11" t="s">
        <v>49</v>
      </c>
      <c r="M11" t="s">
        <v>20</v>
      </c>
      <c r="N11" t="s">
        <v>10</v>
      </c>
      <c r="O11" t="s">
        <v>49</v>
      </c>
      <c r="Q11" s="4">
        <v>45261</v>
      </c>
      <c r="R11" s="5">
        <v>7</v>
      </c>
      <c r="S11" s="5">
        <f t="shared" si="2"/>
        <v>10.5</v>
      </c>
      <c r="U11">
        <f t="shared" si="0"/>
        <v>10.5</v>
      </c>
    </row>
    <row r="12" spans="1:21" x14ac:dyDescent="0.25">
      <c r="B12" s="1">
        <v>45104</v>
      </c>
      <c r="C12" t="s">
        <v>49</v>
      </c>
      <c r="M12" t="s">
        <v>21</v>
      </c>
      <c r="N12" t="s">
        <v>10</v>
      </c>
      <c r="O12" t="s">
        <v>48</v>
      </c>
      <c r="Q12" s="4">
        <v>45292</v>
      </c>
      <c r="R12" s="5">
        <v>8</v>
      </c>
      <c r="S12" s="5">
        <f t="shared" si="2"/>
        <v>12</v>
      </c>
      <c r="U12">
        <f t="shared" si="0"/>
        <v>12</v>
      </c>
    </row>
    <row r="13" spans="1:21" x14ac:dyDescent="0.25">
      <c r="M13" t="s">
        <v>22</v>
      </c>
      <c r="N13" t="s">
        <v>10</v>
      </c>
      <c r="O13" t="s">
        <v>48</v>
      </c>
      <c r="Q13" s="4">
        <v>45323</v>
      </c>
      <c r="R13" s="5">
        <v>9</v>
      </c>
      <c r="S13" s="5">
        <f t="shared" si="2"/>
        <v>13.5</v>
      </c>
      <c r="U13">
        <f t="shared" si="0"/>
        <v>13.5</v>
      </c>
    </row>
    <row r="14" spans="1:21" x14ac:dyDescent="0.25">
      <c r="A14" s="2" t="s">
        <v>47</v>
      </c>
      <c r="B14" s="1">
        <v>45151</v>
      </c>
      <c r="C14" t="s">
        <v>49</v>
      </c>
      <c r="M14" t="s">
        <v>23</v>
      </c>
      <c r="N14" t="s">
        <v>10</v>
      </c>
      <c r="O14" t="s">
        <v>49</v>
      </c>
      <c r="Q14" s="4">
        <v>45352</v>
      </c>
      <c r="R14" s="5">
        <v>10</v>
      </c>
      <c r="S14" s="5">
        <f t="shared" si="2"/>
        <v>15</v>
      </c>
      <c r="U14">
        <f t="shared" si="0"/>
        <v>15</v>
      </c>
    </row>
    <row r="15" spans="1:21" x14ac:dyDescent="0.25">
      <c r="B15" s="1">
        <v>45152</v>
      </c>
      <c r="C15" t="s">
        <v>49</v>
      </c>
      <c r="M15" t="s">
        <v>24</v>
      </c>
      <c r="N15" t="s">
        <v>10</v>
      </c>
      <c r="O15" t="s">
        <v>49</v>
      </c>
      <c r="Q15" s="4">
        <v>45383</v>
      </c>
      <c r="R15" s="5">
        <v>11</v>
      </c>
      <c r="S15" s="5">
        <f t="shared" si="2"/>
        <v>16.5</v>
      </c>
      <c r="U15">
        <f t="shared" si="0"/>
        <v>16.5</v>
      </c>
    </row>
    <row r="16" spans="1:21" x14ac:dyDescent="0.25">
      <c r="B16" s="1">
        <v>45153</v>
      </c>
      <c r="C16" t="s">
        <v>48</v>
      </c>
      <c r="M16" t="s">
        <v>25</v>
      </c>
      <c r="N16" t="s">
        <v>10</v>
      </c>
      <c r="O16" t="s">
        <v>48</v>
      </c>
      <c r="Q16" s="4">
        <v>45413</v>
      </c>
      <c r="R16" s="5">
        <v>12</v>
      </c>
      <c r="S16" s="5">
        <f t="shared" si="2"/>
        <v>18</v>
      </c>
      <c r="U16">
        <f t="shared" si="0"/>
        <v>18</v>
      </c>
    </row>
    <row r="17" spans="2:21" x14ac:dyDescent="0.25">
      <c r="B17" s="1">
        <v>45154</v>
      </c>
      <c r="C17" t="s">
        <v>48</v>
      </c>
      <c r="M17" t="s">
        <v>26</v>
      </c>
      <c r="N17" t="s">
        <v>10</v>
      </c>
      <c r="O17" t="s">
        <v>48</v>
      </c>
      <c r="Q17" s="4">
        <v>45444</v>
      </c>
      <c r="R17" s="5">
        <v>1</v>
      </c>
      <c r="S17" s="5">
        <f>$I$7*R17/12</f>
        <v>1.5</v>
      </c>
      <c r="T17">
        <f>$K$7</f>
        <v>15</v>
      </c>
      <c r="U17">
        <f t="shared" si="0"/>
        <v>16.5</v>
      </c>
    </row>
    <row r="18" spans="2:21" x14ac:dyDescent="0.25">
      <c r="B18" s="1">
        <v>45155</v>
      </c>
      <c r="C18" t="s">
        <v>48</v>
      </c>
      <c r="M18" t="s">
        <v>27</v>
      </c>
      <c r="N18" t="s">
        <v>10</v>
      </c>
      <c r="O18" t="s">
        <v>49</v>
      </c>
      <c r="Q18" s="4">
        <v>45474</v>
      </c>
      <c r="R18" s="5">
        <v>2</v>
      </c>
      <c r="S18" s="5">
        <f t="shared" si="2"/>
        <v>3</v>
      </c>
      <c r="T18">
        <f t="shared" ref="T18:T20" si="4">$K$7</f>
        <v>15</v>
      </c>
      <c r="U18">
        <f t="shared" si="0"/>
        <v>18</v>
      </c>
    </row>
    <row r="19" spans="2:21" x14ac:dyDescent="0.25">
      <c r="B19" s="1">
        <v>45156</v>
      </c>
      <c r="C19" t="s">
        <v>51</v>
      </c>
      <c r="M19" s="1">
        <v>45100</v>
      </c>
      <c r="N19" t="s">
        <v>10</v>
      </c>
      <c r="O19" t="s">
        <v>49</v>
      </c>
      <c r="Q19" s="4">
        <v>45505</v>
      </c>
      <c r="R19" s="5">
        <v>3</v>
      </c>
      <c r="S19" s="5">
        <f t="shared" si="2"/>
        <v>4.5</v>
      </c>
      <c r="T19">
        <f t="shared" si="4"/>
        <v>15</v>
      </c>
      <c r="U19">
        <f t="shared" si="0"/>
        <v>19.5</v>
      </c>
    </row>
    <row r="20" spans="2:21" x14ac:dyDescent="0.25">
      <c r="M20" s="1">
        <v>45101</v>
      </c>
      <c r="N20" t="s">
        <v>10</v>
      </c>
      <c r="O20" t="s">
        <v>49</v>
      </c>
      <c r="Q20" s="4">
        <v>45536</v>
      </c>
      <c r="R20" s="5">
        <v>4</v>
      </c>
      <c r="S20" s="5">
        <f t="shared" si="2"/>
        <v>6</v>
      </c>
      <c r="T20">
        <f t="shared" si="4"/>
        <v>15</v>
      </c>
      <c r="U20">
        <f t="shared" si="0"/>
        <v>21</v>
      </c>
    </row>
    <row r="21" spans="2:21" x14ac:dyDescent="0.25">
      <c r="M21" s="1">
        <v>45102</v>
      </c>
      <c r="N21" t="s">
        <v>10</v>
      </c>
      <c r="O21" t="s">
        <v>49</v>
      </c>
      <c r="Q21" s="4">
        <v>45566</v>
      </c>
      <c r="R21" s="5">
        <v>5</v>
      </c>
      <c r="S21" s="5">
        <f t="shared" si="2"/>
        <v>7.5</v>
      </c>
      <c r="U21">
        <f t="shared" si="0"/>
        <v>7.5</v>
      </c>
    </row>
    <row r="22" spans="2:21" x14ac:dyDescent="0.25">
      <c r="M22" s="1">
        <v>45103</v>
      </c>
      <c r="N22" t="s">
        <v>10</v>
      </c>
      <c r="O22" t="s">
        <v>49</v>
      </c>
      <c r="Q22" s="4">
        <v>45597</v>
      </c>
      <c r="R22" s="5">
        <v>6</v>
      </c>
      <c r="S22" s="5">
        <f t="shared" si="2"/>
        <v>9</v>
      </c>
      <c r="U22">
        <f t="shared" si="0"/>
        <v>9</v>
      </c>
    </row>
    <row r="23" spans="2:21" x14ac:dyDescent="0.25">
      <c r="M23" s="1">
        <v>45104</v>
      </c>
      <c r="N23" t="s">
        <v>10</v>
      </c>
      <c r="O23" t="s">
        <v>49</v>
      </c>
      <c r="Q23" s="4">
        <v>45627</v>
      </c>
      <c r="R23" s="5">
        <v>7</v>
      </c>
      <c r="S23" s="5">
        <f t="shared" si="2"/>
        <v>10.5</v>
      </c>
      <c r="U23">
        <f t="shared" ref="U18:U23" si="5">T23+S23</f>
        <v>10.5</v>
      </c>
    </row>
    <row r="24" spans="2:21" x14ac:dyDescent="0.25">
      <c r="Q24" s="4"/>
      <c r="R24" s="4"/>
    </row>
    <row r="25" spans="2:21" x14ac:dyDescent="0.25">
      <c r="Q25" s="4"/>
      <c r="R25" s="4"/>
    </row>
    <row r="26" spans="2:21" x14ac:dyDescent="0.25">
      <c r="Q26" s="4"/>
      <c r="R26" s="4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9545-9D57-4330-B218-A185FFA09857}">
  <sheetPr codeName="Sheet5"/>
  <dimension ref="A1:B7"/>
  <sheetViews>
    <sheetView workbookViewId="0">
      <selection activeCell="E23" sqref="E23"/>
    </sheetView>
  </sheetViews>
  <sheetFormatPr defaultRowHeight="15" x14ac:dyDescent="0.25"/>
  <cols>
    <col min="1" max="1" width="15.7109375" bestFit="1" customWidth="1"/>
    <col min="2" max="2" width="11.5703125" bestFit="1" customWidth="1"/>
  </cols>
  <sheetData>
    <row r="1" spans="1:2" x14ac:dyDescent="0.25">
      <c r="A1" t="s">
        <v>0</v>
      </c>
      <c r="B1">
        <v>10001</v>
      </c>
    </row>
    <row r="2" spans="1:2" x14ac:dyDescent="0.25">
      <c r="A2" t="s">
        <v>3</v>
      </c>
      <c r="B2" s="1" t="s">
        <v>8</v>
      </c>
    </row>
    <row r="4" spans="1:2" x14ac:dyDescent="0.25">
      <c r="A4" t="s">
        <v>36</v>
      </c>
      <c r="B4" s="1">
        <v>45090</v>
      </c>
    </row>
    <row r="5" spans="1:2" x14ac:dyDescent="0.25">
      <c r="B5" s="1">
        <v>45091</v>
      </c>
    </row>
    <row r="6" spans="1:2" x14ac:dyDescent="0.25">
      <c r="B6" s="1">
        <v>45092</v>
      </c>
    </row>
    <row r="7" spans="1:2" x14ac:dyDescent="0.25">
      <c r="B7" s="1">
        <v>45093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EmployeeLeaveReport">
                <anchor moveWithCells="1" sizeWithCells="1">
                  <from>
                    <xdr:col>2</xdr:col>
                    <xdr:colOff>590550</xdr:colOff>
                    <xdr:row>0</xdr:row>
                    <xdr:rowOff>180975</xdr:rowOff>
                  </from>
                  <to>
                    <xdr:col>6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8"/>
  <sheetViews>
    <sheetView workbookViewId="0">
      <selection activeCell="H17" sqref="H17"/>
    </sheetView>
  </sheetViews>
  <sheetFormatPr defaultRowHeight="15" x14ac:dyDescent="0.25"/>
  <cols>
    <col min="1" max="1" width="12.140625" bestFit="1" customWidth="1"/>
    <col min="2" max="2" width="15.42578125" bestFit="1" customWidth="1"/>
    <col min="3" max="3" width="14.5703125" bestFit="1" customWidth="1"/>
  </cols>
  <sheetData>
    <row r="1" spans="1:4" x14ac:dyDescent="0.25">
      <c r="A1" t="s">
        <v>0</v>
      </c>
      <c r="B1" t="s">
        <v>3</v>
      </c>
      <c r="C1" t="s">
        <v>53</v>
      </c>
      <c r="D1" t="s">
        <v>1</v>
      </c>
    </row>
    <row r="2" spans="1:4" x14ac:dyDescent="0.25">
      <c r="A2">
        <v>10001</v>
      </c>
      <c r="B2" s="1" t="s">
        <v>8</v>
      </c>
      <c r="C2" t="s">
        <v>9</v>
      </c>
      <c r="D2" t="s">
        <v>10</v>
      </c>
    </row>
    <row r="3" spans="1:4" x14ac:dyDescent="0.25">
      <c r="A3">
        <v>10001</v>
      </c>
      <c r="B3" t="s">
        <v>8</v>
      </c>
      <c r="C3" t="s">
        <v>11</v>
      </c>
      <c r="D3" t="s">
        <v>12</v>
      </c>
    </row>
    <row r="4" spans="1:4" x14ac:dyDescent="0.25">
      <c r="A4">
        <v>10001</v>
      </c>
      <c r="B4" t="s">
        <v>8</v>
      </c>
      <c r="C4" t="s">
        <v>13</v>
      </c>
      <c r="D4" t="s">
        <v>10</v>
      </c>
    </row>
    <row r="5" spans="1:4" x14ac:dyDescent="0.25">
      <c r="A5">
        <v>10001</v>
      </c>
      <c r="B5" t="s">
        <v>8</v>
      </c>
      <c r="C5" t="s">
        <v>14</v>
      </c>
      <c r="D5" t="s">
        <v>10</v>
      </c>
    </row>
    <row r="6" spans="1:4" x14ac:dyDescent="0.25">
      <c r="A6">
        <v>10001</v>
      </c>
      <c r="B6" t="s">
        <v>8</v>
      </c>
      <c r="C6" t="s">
        <v>15</v>
      </c>
      <c r="D6" t="s">
        <v>12</v>
      </c>
    </row>
    <row r="7" spans="1:4" x14ac:dyDescent="0.25">
      <c r="A7">
        <v>10001</v>
      </c>
      <c r="B7" t="s">
        <v>8</v>
      </c>
      <c r="C7" t="s">
        <v>16</v>
      </c>
      <c r="D7" t="s">
        <v>10</v>
      </c>
    </row>
    <row r="8" spans="1:4" x14ac:dyDescent="0.25">
      <c r="A8">
        <v>10001</v>
      </c>
      <c r="B8" t="s">
        <v>8</v>
      </c>
      <c r="C8" t="s">
        <v>17</v>
      </c>
      <c r="D8" t="s">
        <v>12</v>
      </c>
    </row>
    <row r="9" spans="1:4" x14ac:dyDescent="0.25">
      <c r="A9">
        <v>10001</v>
      </c>
      <c r="B9" t="s">
        <v>8</v>
      </c>
      <c r="C9" t="s">
        <v>18</v>
      </c>
      <c r="D9" t="s">
        <v>10</v>
      </c>
    </row>
    <row r="10" spans="1:4" x14ac:dyDescent="0.25">
      <c r="A10">
        <v>10001</v>
      </c>
      <c r="B10" t="s">
        <v>8</v>
      </c>
      <c r="C10" t="s">
        <v>19</v>
      </c>
      <c r="D10" t="s">
        <v>10</v>
      </c>
    </row>
    <row r="11" spans="1:4" x14ac:dyDescent="0.25">
      <c r="A11">
        <v>10001</v>
      </c>
      <c r="B11" t="s">
        <v>8</v>
      </c>
      <c r="C11" t="s">
        <v>20</v>
      </c>
      <c r="D11" t="s">
        <v>10</v>
      </c>
    </row>
    <row r="12" spans="1:4" x14ac:dyDescent="0.25">
      <c r="A12">
        <v>10001</v>
      </c>
      <c r="B12" t="s">
        <v>8</v>
      </c>
      <c r="C12" t="s">
        <v>21</v>
      </c>
      <c r="D12" t="s">
        <v>12</v>
      </c>
    </row>
    <row r="13" spans="1:4" x14ac:dyDescent="0.25">
      <c r="A13">
        <v>10001</v>
      </c>
      <c r="B13" t="s">
        <v>8</v>
      </c>
      <c r="C13" t="s">
        <v>22</v>
      </c>
      <c r="D13" t="s">
        <v>10</v>
      </c>
    </row>
    <row r="14" spans="1:4" x14ac:dyDescent="0.25">
      <c r="A14">
        <v>10001</v>
      </c>
      <c r="B14" t="s">
        <v>8</v>
      </c>
      <c r="C14" t="s">
        <v>23</v>
      </c>
      <c r="D14" t="s">
        <v>10</v>
      </c>
    </row>
    <row r="15" spans="1:4" x14ac:dyDescent="0.25">
      <c r="A15">
        <v>10001</v>
      </c>
      <c r="B15" t="s">
        <v>8</v>
      </c>
      <c r="C15" t="s">
        <v>24</v>
      </c>
      <c r="D15" t="s">
        <v>12</v>
      </c>
    </row>
    <row r="16" spans="1:4" x14ac:dyDescent="0.25">
      <c r="A16">
        <v>10001</v>
      </c>
      <c r="B16" t="s">
        <v>8</v>
      </c>
      <c r="C16" t="s">
        <v>25</v>
      </c>
      <c r="D16" t="s">
        <v>10</v>
      </c>
    </row>
    <row r="17" spans="1:4" x14ac:dyDescent="0.25">
      <c r="A17">
        <v>10001</v>
      </c>
      <c r="B17" t="s">
        <v>8</v>
      </c>
      <c r="C17" t="s">
        <v>26</v>
      </c>
      <c r="D17" t="s">
        <v>12</v>
      </c>
    </row>
    <row r="18" spans="1:4" x14ac:dyDescent="0.25">
      <c r="A18">
        <v>10001</v>
      </c>
      <c r="B18" t="s">
        <v>8</v>
      </c>
      <c r="C18" t="s">
        <v>27</v>
      </c>
      <c r="D18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E8370-0EF5-4D63-8894-2F6645150087}">
  <sheetPr codeName="Sheet2"/>
  <dimension ref="A1:E2"/>
  <sheetViews>
    <sheetView workbookViewId="0">
      <selection activeCell="I15" sqref="I15"/>
    </sheetView>
  </sheetViews>
  <sheetFormatPr defaultRowHeight="15" x14ac:dyDescent="0.25"/>
  <cols>
    <col min="1" max="1" width="12.140625" bestFit="1" customWidth="1"/>
    <col min="2" max="2" width="15.7109375" bestFit="1" customWidth="1"/>
    <col min="3" max="3" width="21.85546875" bestFit="1" customWidth="1"/>
    <col min="4" max="4" width="23" bestFit="1" customWidth="1"/>
    <col min="5" max="5" width="33.28515625" bestFit="1" customWidth="1"/>
  </cols>
  <sheetData>
    <row r="1" spans="1:5" x14ac:dyDescent="0.25">
      <c r="A1" t="s">
        <v>0</v>
      </c>
      <c r="B1" t="s">
        <v>3</v>
      </c>
      <c r="C1" t="s">
        <v>4</v>
      </c>
      <c r="D1" t="s">
        <v>2</v>
      </c>
      <c r="E1" t="s">
        <v>41</v>
      </c>
    </row>
    <row r="2" spans="1:5" x14ac:dyDescent="0.25">
      <c r="A2">
        <v>10001</v>
      </c>
      <c r="B2" t="s">
        <v>28</v>
      </c>
      <c r="C2" s="1">
        <v>43252</v>
      </c>
      <c r="D2">
        <v>6</v>
      </c>
      <c r="E2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04BB-EC33-469E-88FD-27C2E1447382}">
  <sheetPr codeName="Sheet3"/>
  <dimension ref="A1:B11"/>
  <sheetViews>
    <sheetView workbookViewId="0">
      <selection activeCell="H17" sqref="H17"/>
    </sheetView>
  </sheetViews>
  <sheetFormatPr defaultRowHeight="15" x14ac:dyDescent="0.25"/>
  <cols>
    <col min="2" max="2" width="22" bestFit="1" customWidth="1"/>
  </cols>
  <sheetData>
    <row r="1" spans="1:2" x14ac:dyDescent="0.25">
      <c r="A1" t="s">
        <v>45</v>
      </c>
    </row>
    <row r="2" spans="1:2" x14ac:dyDescent="0.25">
      <c r="A2">
        <v>1</v>
      </c>
      <c r="B2">
        <v>10</v>
      </c>
    </row>
    <row r="3" spans="1:2" x14ac:dyDescent="0.25">
      <c r="A3">
        <v>2</v>
      </c>
      <c r="B3">
        <v>10</v>
      </c>
    </row>
    <row r="4" spans="1:2" x14ac:dyDescent="0.25">
      <c r="A4">
        <v>3</v>
      </c>
      <c r="B4">
        <v>11</v>
      </c>
    </row>
    <row r="5" spans="1:2" x14ac:dyDescent="0.25">
      <c r="A5">
        <v>4</v>
      </c>
      <c r="B5">
        <v>12</v>
      </c>
    </row>
    <row r="6" spans="1:2" x14ac:dyDescent="0.25">
      <c r="A6">
        <v>5</v>
      </c>
      <c r="B6">
        <v>13</v>
      </c>
    </row>
    <row r="7" spans="1:2" x14ac:dyDescent="0.25">
      <c r="A7">
        <v>6</v>
      </c>
      <c r="B7">
        <v>14</v>
      </c>
    </row>
    <row r="8" spans="1:2" x14ac:dyDescent="0.25">
      <c r="A8">
        <v>7</v>
      </c>
      <c r="B8">
        <v>15</v>
      </c>
    </row>
    <row r="9" spans="1:2" x14ac:dyDescent="0.25">
      <c r="A9">
        <v>8</v>
      </c>
      <c r="B9">
        <v>16</v>
      </c>
    </row>
    <row r="10" spans="1:2" x14ac:dyDescent="0.25">
      <c r="A10">
        <v>9</v>
      </c>
      <c r="B10">
        <v>17</v>
      </c>
    </row>
    <row r="11" spans="1:2" x14ac:dyDescent="0.25">
      <c r="A11">
        <v>10</v>
      </c>
      <c r="B11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17133-B1CB-4E84-A0B8-D6A778AEF7BA}">
  <sheetPr codeName="Sheet4"/>
  <dimension ref="A1:B3"/>
  <sheetViews>
    <sheetView workbookViewId="0">
      <selection activeCell="O24" sqref="O24"/>
    </sheetView>
  </sheetViews>
  <sheetFormatPr defaultRowHeight="15" x14ac:dyDescent="0.25"/>
  <cols>
    <col min="1" max="1" width="17.7109375" bestFit="1" customWidth="1"/>
    <col min="2" max="2" width="10.42578125" bestFit="1" customWidth="1"/>
  </cols>
  <sheetData>
    <row r="1" spans="1:2" x14ac:dyDescent="0.25">
      <c r="A1" t="s">
        <v>39</v>
      </c>
      <c r="B1" t="s">
        <v>40</v>
      </c>
    </row>
    <row r="2" spans="1:2" x14ac:dyDescent="0.25">
      <c r="A2" t="s">
        <v>7</v>
      </c>
      <c r="B2" s="1">
        <v>45001</v>
      </c>
    </row>
    <row r="3" spans="1:2" x14ac:dyDescent="0.25">
      <c r="A3" t="s">
        <v>44</v>
      </c>
      <c r="B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 John Smith </vt:lpstr>
      <vt:lpstr>John Smith (to be)</vt:lpstr>
      <vt:lpstr>Employee Record Generator</vt:lpstr>
      <vt:lpstr>Leave Records</vt:lpstr>
      <vt:lpstr>Employee Profiles</vt:lpstr>
      <vt:lpstr>Leave Entitlement Policy</vt:lpstr>
      <vt:lpstr>Meta Data</vt:lpstr>
      <vt:lpstr>EmployeeID</vt:lpstr>
      <vt:lpstr>EmployeeName</vt:lpstr>
      <vt:lpstr>LeavesToApply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Chan</dc:creator>
  <cp:lastModifiedBy>Isaac Chan</cp:lastModifiedBy>
  <dcterms:created xsi:type="dcterms:W3CDTF">2015-06-05T18:17:20Z</dcterms:created>
  <dcterms:modified xsi:type="dcterms:W3CDTF">2023-03-17T18:10:59Z</dcterms:modified>
</cp:coreProperties>
</file>